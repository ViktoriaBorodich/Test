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-PC\Downloads\"/>
    </mc:Choice>
  </mc:AlternateContent>
  <xr:revisionPtr revIDLastSave="0" documentId="13_ncr:1_{123B70D1-BC4B-4FEB-BA10-1A8136FD1CB4}" xr6:coauthVersionLast="47" xr6:coauthVersionMax="47" xr10:uidLastSave="{00000000-0000-0000-0000-000000000000}"/>
  <bookViews>
    <workbookView xWindow="-108" yWindow="-108" windowWidth="23256" windowHeight="12456" xr2:uid="{52D4D1FF-6113-45A5-8E4E-9CCB42F58513}"/>
  </bookViews>
  <sheets>
    <sheet name="Сводные таблицы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4" i="1" l="1"/>
  <c r="AL26" i="1"/>
  <c r="AK26" i="1"/>
  <c r="AL25" i="1"/>
  <c r="AK25" i="1"/>
  <c r="AA26" i="1"/>
  <c r="Z26" i="1"/>
  <c r="AA25" i="1"/>
  <c r="Z25" i="1"/>
  <c r="N25" i="1"/>
  <c r="O26" i="1"/>
  <c r="N26" i="1"/>
  <c r="O25" i="1"/>
  <c r="C26" i="1"/>
  <c r="C25" i="1"/>
  <c r="B26" i="1"/>
  <c r="B25" i="1"/>
</calcChain>
</file>

<file path=xl/sharedStrings.xml><?xml version="1.0" encoding="utf-8"?>
<sst xmlns="http://schemas.openxmlformats.org/spreadsheetml/2006/main" count="36" uniqueCount="24">
  <si>
    <t>Год</t>
  </si>
  <si>
    <t>Импорт (тыс. т)</t>
  </si>
  <si>
    <t>Экспорт (тыс. т)</t>
  </si>
  <si>
    <t>Черные металлы </t>
  </si>
  <si>
    <t>Импорт (тыс. шт)</t>
  </si>
  <si>
    <t>Экспорт (тыс. шт)</t>
  </si>
  <si>
    <t>Легковые автомобили</t>
  </si>
  <si>
    <t>Лекарства</t>
  </si>
  <si>
    <t>Импорт (тонн)</t>
  </si>
  <si>
    <t>Экспорт (тонн)</t>
  </si>
  <si>
    <t>Сыры (экспорт, тыс. т)</t>
  </si>
  <si>
    <t>Мясо птицы (экспорт, тыс. т)</t>
  </si>
  <si>
    <t>Сельское хозяйство </t>
  </si>
  <si>
    <t xml:space="preserve">Вывод: </t>
  </si>
  <si>
    <t>Минимальное</t>
  </si>
  <si>
    <t>Масимальное</t>
  </si>
  <si>
    <t>2011!!!!</t>
  </si>
  <si>
    <t>По черным металлам видно, что мы их больше покупаем, чем продаем. Импорт всегда выше экспорта. Это логично, потому что у нас много заводов (МАЗ, БЕЛАЗ, МТЗ), которым нужен металл. Своего не хватает, поэтому закупаем за границей. Самый большой разрыв был в 2010 году (почти 1,8 млн тонн). А в кризис 2009 года импорт упал, потому что заводы меньше работали.</t>
  </si>
  <si>
    <t>Рынок легковых автомобилей Беларуси характеризуется стабильным превышением импорта над экспортом с резкой аномалией в 2011 году, возможно вызванной изменением таможенного законодательства.</t>
  </si>
  <si>
    <t>По лекарствам самая интересная динамика, тк здесь тренд полностью поменялся. Раньше мы покупали лекарств больше, чем продавали.  Но после 2011 года ситуация начала меняться,и постепенно мы стали продавать больше, чем покупать. В 2021 году экспорт уже превышал импорт на 4,3 тысячи тонн. Это говорит о том, что наша фармацевтическая промышленность сильно выросла за последние 10 лет. Теперь мы не только обеспечиваем себя лекарствами, но и продаем их другим странам.</t>
  </si>
  <si>
    <t>Сальдо</t>
  </si>
  <si>
    <t>Экспорт продукции сельского хозяйства демонстрирует устойчивый многократный рост за 20 лет, что свидетельствует о развитии отрасли и увеличении экспортного потенциала. Такой рост экспорта сельхозпродукции связан с активным строительством новых ферм и модернизизации старых. Так же были программы по импортозамещению и наращиванию экспорта.</t>
  </si>
  <si>
    <t>Проанализировав все категории импорта и экспорта Беларуси, можно выделить несколько групп. Первая группа - это черные металлы и продукция из них. Здесь мы стабильно покупаем больше, чем продаем, потому что металл нужен нашему машиностроению. Вторая группа - высокотехнологичная продукция: вычислительные машины, аппаратура связи, двигатели. Здесь импорт резко вырос в 2013-2014 годах, что связано с модернизацией IT-инфраструктуры, а потом стабилизировался. Третья группа - сельское хозяйство. Это самый успешный сектор. Четвертая группа - лекарства. Здесь произошел перелом: с 2015 года мы стали продавать больше, чем покупать. И пятая группа - это продукты, по которым мы являемся чистыми экспортерами: мебель, лесоматериалы, сахар. В целом, экономика показывает разнонаправленные тренды: сельское хозяйство и фармацевтика растут, а металлургия и автопром остаются зависимыми от импорта.</t>
  </si>
  <si>
    <t>Общий вывод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</si>
</sst>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rgb="FF0F1115"/>
      <name val="Times New Roman"/>
      <family val="1"/>
      <charset val="204"/>
    </font>
    <font>
      <sz val="11"/>
      <color rgb="FF0F1115"/>
      <name val="Times New Roman"/>
      <family val="1"/>
      <charset val="204"/>
    </font>
    <font>
      <sz val="11"/>
      <color rgb="FF0F1115"/>
      <name val="Times New Roman"/>
      <family val="1"/>
      <charset val="204"/>
    </font>
    <font>
      <i/>
      <sz val="10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  <font>
      <sz val="14"/>
      <color rgb="FF0F1115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left" vertical="center" wrapText="1" indent="1"/>
    </xf>
    <xf numFmtId="0" fontId="1" fillId="5" borderId="1" xfId="0" applyFont="1" applyFill="1" applyBorder="1"/>
    <xf numFmtId="0" fontId="5" fillId="0" borderId="0" xfId="0" applyFont="1"/>
    <xf numFmtId="0" fontId="6" fillId="0" borderId="0" xfId="0" applyFont="1" applyAlignment="1">
      <alignment vertical="center" wrapText="1"/>
    </xf>
    <xf numFmtId="0" fontId="4" fillId="6" borderId="1" xfId="0" applyFont="1" applyFill="1" applyBorder="1" applyAlignment="1">
      <alignment horizontal="left" vertical="center" wrapText="1" indent="1"/>
    </xf>
    <xf numFmtId="0" fontId="1" fillId="5" borderId="0" xfId="0" applyFont="1" applyFill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effectLst/>
              </a:rPr>
              <a:t>Черные металлы </a:t>
            </a:r>
            <a:r>
              <a:rPr lang="ru-RU" sz="1400" b="0" i="0" u="none" strike="noStrike" baseline="0">
                <a:effectLst/>
              </a:rPr>
              <a:t> </a:t>
            </a:r>
            <a:endParaRPr lang="ru-B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'Сводные таблицы'!$B$2</c:f>
              <c:strCache>
                <c:ptCount val="1"/>
                <c:pt idx="0">
                  <c:v>Импорт (тыс. т)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'Сводные таблицы'!$A$3:$A$24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'Сводные таблицы'!$B$3:$B$24</c:f>
              <c:numCache>
                <c:formatCode>General</c:formatCode>
                <c:ptCount val="22"/>
                <c:pt idx="0">
                  <c:v>2175.5</c:v>
                </c:pt>
                <c:pt idx="1">
                  <c:v>1932.6</c:v>
                </c:pt>
                <c:pt idx="2">
                  <c:v>1888</c:v>
                </c:pt>
                <c:pt idx="3">
                  <c:v>2465.4</c:v>
                </c:pt>
                <c:pt idx="4">
                  <c:v>2657.5</c:v>
                </c:pt>
                <c:pt idx="5">
                  <c:v>2572</c:v>
                </c:pt>
                <c:pt idx="6">
                  <c:v>3180.7</c:v>
                </c:pt>
                <c:pt idx="7">
                  <c:v>3287.6</c:v>
                </c:pt>
                <c:pt idx="8">
                  <c:v>3402.7</c:v>
                </c:pt>
                <c:pt idx="9">
                  <c:v>2712.6</c:v>
                </c:pt>
                <c:pt idx="10">
                  <c:v>3537.7</c:v>
                </c:pt>
                <c:pt idx="11">
                  <c:v>3513.1</c:v>
                </c:pt>
                <c:pt idx="12">
                  <c:v>3436.6</c:v>
                </c:pt>
                <c:pt idx="13">
                  <c:v>3469.6</c:v>
                </c:pt>
                <c:pt idx="14">
                  <c:v>3061.4</c:v>
                </c:pt>
                <c:pt idx="15">
                  <c:v>2762.4</c:v>
                </c:pt>
                <c:pt idx="16">
                  <c:v>2705.4</c:v>
                </c:pt>
                <c:pt idx="17">
                  <c:v>3147.6</c:v>
                </c:pt>
                <c:pt idx="18">
                  <c:v>3440.9</c:v>
                </c:pt>
                <c:pt idx="19">
                  <c:v>3278.8</c:v>
                </c:pt>
                <c:pt idx="20">
                  <c:v>3039.7</c:v>
                </c:pt>
                <c:pt idx="21">
                  <c:v>3086.2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CF-48A2-BF31-79F2F6B2FE63}"/>
            </c:ext>
          </c:extLst>
        </c:ser>
        <c:ser>
          <c:idx val="1"/>
          <c:order val="1"/>
          <c:tx>
            <c:strRef>
              <c:f>'Сводные таблицы'!$C$2</c:f>
              <c:strCache>
                <c:ptCount val="1"/>
                <c:pt idx="0">
                  <c:v>Экспорт (тыс. т)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'Сводные таблицы'!$A$3:$A$24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'Сводные таблицы'!$C$3:$C$24</c:f>
              <c:numCache>
                <c:formatCode>General</c:formatCode>
                <c:ptCount val="22"/>
                <c:pt idx="0">
                  <c:v>1391.2</c:v>
                </c:pt>
                <c:pt idx="1">
                  <c:v>1431</c:v>
                </c:pt>
                <c:pt idx="2">
                  <c:v>1452.9</c:v>
                </c:pt>
                <c:pt idx="3">
                  <c:v>1413.5</c:v>
                </c:pt>
                <c:pt idx="4">
                  <c:v>1498.3</c:v>
                </c:pt>
                <c:pt idx="5">
                  <c:v>1631.4</c:v>
                </c:pt>
                <c:pt idx="6">
                  <c:v>1825.9</c:v>
                </c:pt>
                <c:pt idx="7">
                  <c:v>1857.3</c:v>
                </c:pt>
                <c:pt idx="8">
                  <c:v>1903.9</c:v>
                </c:pt>
                <c:pt idx="9">
                  <c:v>1863.9</c:v>
                </c:pt>
                <c:pt idx="10">
                  <c:v>1747.2</c:v>
                </c:pt>
                <c:pt idx="11">
                  <c:v>1774.9</c:v>
                </c:pt>
                <c:pt idx="12">
                  <c:v>1974.3</c:v>
                </c:pt>
                <c:pt idx="13">
                  <c:v>1663.3</c:v>
                </c:pt>
                <c:pt idx="14">
                  <c:v>1917</c:v>
                </c:pt>
                <c:pt idx="15">
                  <c:v>1994.7</c:v>
                </c:pt>
                <c:pt idx="16">
                  <c:v>1696.8</c:v>
                </c:pt>
                <c:pt idx="17">
                  <c:v>1771.5</c:v>
                </c:pt>
                <c:pt idx="18">
                  <c:v>1923.7</c:v>
                </c:pt>
                <c:pt idx="19">
                  <c:v>2086.8000000000002</c:v>
                </c:pt>
                <c:pt idx="20">
                  <c:v>1967.2</c:v>
                </c:pt>
                <c:pt idx="21">
                  <c:v>1841.6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CF-48A2-BF31-79F2F6B2F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02816"/>
        <c:axId val="14793696"/>
      </c:lineChart>
      <c:catAx>
        <c:axId val="1480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4793696"/>
        <c:crosses val="autoZero"/>
        <c:auto val="1"/>
        <c:lblAlgn val="ctr"/>
        <c:lblOffset val="100"/>
        <c:noMultiLvlLbl val="0"/>
      </c:catAx>
      <c:valAx>
        <c:axId val="1479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480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BY" b="1"/>
              <a:t>Легковые автомобили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'Сводные таблицы'!$N$2</c:f>
              <c:strCache>
                <c:ptCount val="1"/>
                <c:pt idx="0">
                  <c:v>Импорт (тыс. шт)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'Сводные таблицы'!$M$3:$M$24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2011!!!!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'Сводные таблицы'!$N$3:$N$24</c:f>
              <c:numCache>
                <c:formatCode>General</c:formatCode>
                <c:ptCount val="22"/>
                <c:pt idx="0">
                  <c:v>57.7</c:v>
                </c:pt>
                <c:pt idx="1">
                  <c:v>72</c:v>
                </c:pt>
                <c:pt idx="2">
                  <c:v>100</c:v>
                </c:pt>
                <c:pt idx="3">
                  <c:v>95.5</c:v>
                </c:pt>
                <c:pt idx="4">
                  <c:v>88.7</c:v>
                </c:pt>
                <c:pt idx="5">
                  <c:v>131.30000000000001</c:v>
                </c:pt>
                <c:pt idx="6">
                  <c:v>157</c:v>
                </c:pt>
                <c:pt idx="7">
                  <c:v>180.4</c:v>
                </c:pt>
                <c:pt idx="8">
                  <c:v>199.9</c:v>
                </c:pt>
                <c:pt idx="9">
                  <c:v>163.4</c:v>
                </c:pt>
                <c:pt idx="10">
                  <c:v>201.8</c:v>
                </c:pt>
                <c:pt idx="11">
                  <c:v>284.10000000000002</c:v>
                </c:pt>
                <c:pt idx="12">
                  <c:v>83.7</c:v>
                </c:pt>
                <c:pt idx="13">
                  <c:v>102.5</c:v>
                </c:pt>
                <c:pt idx="14">
                  <c:v>159.6</c:v>
                </c:pt>
                <c:pt idx="15">
                  <c:v>96.5</c:v>
                </c:pt>
                <c:pt idx="16">
                  <c:v>55.9</c:v>
                </c:pt>
                <c:pt idx="17">
                  <c:v>54.9</c:v>
                </c:pt>
                <c:pt idx="18">
                  <c:v>86.9</c:v>
                </c:pt>
                <c:pt idx="19">
                  <c:v>106.6</c:v>
                </c:pt>
                <c:pt idx="20">
                  <c:v>93.5</c:v>
                </c:pt>
                <c:pt idx="21">
                  <c:v>114.5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40-401A-AA30-CE31202F084D}"/>
            </c:ext>
          </c:extLst>
        </c:ser>
        <c:ser>
          <c:idx val="1"/>
          <c:order val="1"/>
          <c:tx>
            <c:strRef>
              <c:f>'Сводные таблицы'!$O$2</c:f>
              <c:strCache>
                <c:ptCount val="1"/>
                <c:pt idx="0">
                  <c:v>Экспорт (тыс. шт)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'Сводные таблицы'!$M$3:$M$24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2011!!!!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'Сводные таблицы'!$O$3:$O$24</c:f>
              <c:numCache>
                <c:formatCode>General</c:formatCode>
                <c:ptCount val="22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0.03</c:v>
                </c:pt>
                <c:pt idx="6">
                  <c:v>0.03</c:v>
                </c:pt>
                <c:pt idx="7">
                  <c:v>0.04</c:v>
                </c:pt>
                <c:pt idx="8">
                  <c:v>0.5</c:v>
                </c:pt>
                <c:pt idx="9">
                  <c:v>0.01</c:v>
                </c:pt>
                <c:pt idx="10">
                  <c:v>24</c:v>
                </c:pt>
                <c:pt idx="11">
                  <c:v>112.7</c:v>
                </c:pt>
                <c:pt idx="12">
                  <c:v>59.1</c:v>
                </c:pt>
                <c:pt idx="13">
                  <c:v>38.6</c:v>
                </c:pt>
                <c:pt idx="14">
                  <c:v>8.6999999999999993</c:v>
                </c:pt>
                <c:pt idx="15">
                  <c:v>9.1</c:v>
                </c:pt>
                <c:pt idx="16">
                  <c:v>12.4</c:v>
                </c:pt>
                <c:pt idx="17">
                  <c:v>4.0999999999999996</c:v>
                </c:pt>
                <c:pt idx="18">
                  <c:v>11.2</c:v>
                </c:pt>
                <c:pt idx="19">
                  <c:v>19.899999999999999</c:v>
                </c:pt>
                <c:pt idx="20">
                  <c:v>40.1</c:v>
                </c:pt>
                <c:pt idx="21">
                  <c:v>58.5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40-401A-AA30-CE31202F0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41216"/>
        <c:axId val="14841696"/>
      </c:lineChart>
      <c:catAx>
        <c:axId val="1484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4841696"/>
        <c:crosses val="autoZero"/>
        <c:auto val="1"/>
        <c:lblAlgn val="ctr"/>
        <c:lblOffset val="100"/>
        <c:noMultiLvlLbl val="0"/>
      </c:catAx>
      <c:valAx>
        <c:axId val="1484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484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effectLst/>
              </a:rPr>
              <a:t>Лекарства</a:t>
            </a:r>
            <a:r>
              <a:rPr lang="ru-RU" sz="1400" b="0" i="0" u="none" strike="noStrike" baseline="0">
                <a:effectLst/>
              </a:rPr>
              <a:t> </a:t>
            </a:r>
            <a:endParaRPr lang="ru-B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'Сводные таблицы'!$Z$2</c:f>
              <c:strCache>
                <c:ptCount val="1"/>
                <c:pt idx="0">
                  <c:v>Импорт (тонн)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'Сводные таблицы'!$Y$3:$Y$24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'Сводные таблицы'!$Z$3:$Z$24</c:f>
              <c:numCache>
                <c:formatCode>General</c:formatCode>
                <c:ptCount val="22"/>
                <c:pt idx="0">
                  <c:v>7650</c:v>
                </c:pt>
                <c:pt idx="1">
                  <c:v>7747</c:v>
                </c:pt>
                <c:pt idx="2">
                  <c:v>7667</c:v>
                </c:pt>
                <c:pt idx="3">
                  <c:v>9204</c:v>
                </c:pt>
                <c:pt idx="4">
                  <c:v>8581</c:v>
                </c:pt>
                <c:pt idx="5">
                  <c:v>7473</c:v>
                </c:pt>
                <c:pt idx="6">
                  <c:v>8315</c:v>
                </c:pt>
                <c:pt idx="7">
                  <c:v>8755</c:v>
                </c:pt>
                <c:pt idx="8">
                  <c:v>8564</c:v>
                </c:pt>
                <c:pt idx="9">
                  <c:v>7997</c:v>
                </c:pt>
                <c:pt idx="10">
                  <c:v>7387</c:v>
                </c:pt>
                <c:pt idx="11">
                  <c:v>6402</c:v>
                </c:pt>
                <c:pt idx="12">
                  <c:v>6721</c:v>
                </c:pt>
                <c:pt idx="13">
                  <c:v>7766</c:v>
                </c:pt>
                <c:pt idx="14">
                  <c:v>8134</c:v>
                </c:pt>
                <c:pt idx="15">
                  <c:v>6497</c:v>
                </c:pt>
                <c:pt idx="16">
                  <c:v>6436</c:v>
                </c:pt>
                <c:pt idx="17">
                  <c:v>8053</c:v>
                </c:pt>
                <c:pt idx="18">
                  <c:v>7399</c:v>
                </c:pt>
                <c:pt idx="19">
                  <c:v>8794</c:v>
                </c:pt>
                <c:pt idx="20">
                  <c:v>8998</c:v>
                </c:pt>
                <c:pt idx="21">
                  <c:v>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80-405F-9E0E-C8883E3190C9}"/>
            </c:ext>
          </c:extLst>
        </c:ser>
        <c:ser>
          <c:idx val="1"/>
          <c:order val="1"/>
          <c:tx>
            <c:strRef>
              <c:f>'Сводные таблицы'!$AA$2</c:f>
              <c:strCache>
                <c:ptCount val="1"/>
                <c:pt idx="0">
                  <c:v>Экспорт (тонн)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'Сводные таблицы'!$Y$3:$Y$24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'Сводные таблицы'!$AA$3:$AA$24</c:f>
              <c:numCache>
                <c:formatCode>General</c:formatCode>
                <c:ptCount val="22"/>
                <c:pt idx="0">
                  <c:v>6024</c:v>
                </c:pt>
                <c:pt idx="1">
                  <c:v>6367</c:v>
                </c:pt>
                <c:pt idx="2">
                  <c:v>7992</c:v>
                </c:pt>
                <c:pt idx="3">
                  <c:v>7283</c:v>
                </c:pt>
                <c:pt idx="4">
                  <c:v>6969</c:v>
                </c:pt>
                <c:pt idx="5">
                  <c:v>6608</c:v>
                </c:pt>
                <c:pt idx="6">
                  <c:v>7384</c:v>
                </c:pt>
                <c:pt idx="7">
                  <c:v>8811</c:v>
                </c:pt>
                <c:pt idx="8">
                  <c:v>8813</c:v>
                </c:pt>
                <c:pt idx="9">
                  <c:v>6781</c:v>
                </c:pt>
                <c:pt idx="10">
                  <c:v>7039</c:v>
                </c:pt>
                <c:pt idx="11">
                  <c:v>8065</c:v>
                </c:pt>
                <c:pt idx="12">
                  <c:v>10820</c:v>
                </c:pt>
                <c:pt idx="13">
                  <c:v>9776</c:v>
                </c:pt>
                <c:pt idx="14">
                  <c:v>9403</c:v>
                </c:pt>
                <c:pt idx="15">
                  <c:v>9691</c:v>
                </c:pt>
                <c:pt idx="16">
                  <c:v>9676</c:v>
                </c:pt>
                <c:pt idx="17">
                  <c:v>10364</c:v>
                </c:pt>
                <c:pt idx="18">
                  <c:v>10404</c:v>
                </c:pt>
                <c:pt idx="19">
                  <c:v>12662</c:v>
                </c:pt>
                <c:pt idx="20">
                  <c:v>12239</c:v>
                </c:pt>
                <c:pt idx="21">
                  <c:v>11760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80-405F-9E0E-C8883E319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37536"/>
        <c:axId val="14750496"/>
      </c:lineChart>
      <c:catAx>
        <c:axId val="1473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4750496"/>
        <c:crosses val="autoZero"/>
        <c:auto val="1"/>
        <c:lblAlgn val="ctr"/>
        <c:lblOffset val="100"/>
        <c:noMultiLvlLbl val="0"/>
      </c:catAx>
      <c:valAx>
        <c:axId val="1475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473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BY" b="1"/>
              <a:t>Сельское хозяйство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'Сводные таблицы'!$AK$2</c:f>
              <c:strCache>
                <c:ptCount val="1"/>
                <c:pt idx="0">
                  <c:v>Сыры (экспорт, тыс. т)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'Сводные таблицы'!$AJ$3:$AJ$24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'Сводные таблицы'!$AK$3:$AK$24</c:f>
              <c:numCache>
                <c:formatCode>General</c:formatCode>
                <c:ptCount val="22"/>
                <c:pt idx="0">
                  <c:v>16.899999999999999</c:v>
                </c:pt>
                <c:pt idx="1">
                  <c:v>25.8</c:v>
                </c:pt>
                <c:pt idx="2">
                  <c:v>28.3</c:v>
                </c:pt>
                <c:pt idx="3">
                  <c:v>38.299999999999997</c:v>
                </c:pt>
                <c:pt idx="4">
                  <c:v>53.5</c:v>
                </c:pt>
                <c:pt idx="5">
                  <c:v>65.099999999999994</c:v>
                </c:pt>
                <c:pt idx="6">
                  <c:v>82.6</c:v>
                </c:pt>
                <c:pt idx="7">
                  <c:v>99</c:v>
                </c:pt>
                <c:pt idx="8">
                  <c:v>102</c:v>
                </c:pt>
                <c:pt idx="9">
                  <c:v>121.5</c:v>
                </c:pt>
                <c:pt idx="10">
                  <c:v>128.69999999999999</c:v>
                </c:pt>
                <c:pt idx="11">
                  <c:v>132.19999999999999</c:v>
                </c:pt>
                <c:pt idx="12">
                  <c:v>144.4</c:v>
                </c:pt>
                <c:pt idx="13">
                  <c:v>140.5</c:v>
                </c:pt>
                <c:pt idx="14">
                  <c:v>166.7</c:v>
                </c:pt>
                <c:pt idx="15">
                  <c:v>182.5</c:v>
                </c:pt>
                <c:pt idx="16">
                  <c:v>205</c:v>
                </c:pt>
                <c:pt idx="17">
                  <c:v>189.4</c:v>
                </c:pt>
                <c:pt idx="18">
                  <c:v>211.2</c:v>
                </c:pt>
                <c:pt idx="19">
                  <c:v>244.1</c:v>
                </c:pt>
                <c:pt idx="20">
                  <c:v>274.5</c:v>
                </c:pt>
                <c:pt idx="21">
                  <c:v>298.3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0B-42D4-B74D-1C7080177FB7}"/>
            </c:ext>
          </c:extLst>
        </c:ser>
        <c:ser>
          <c:idx val="1"/>
          <c:order val="1"/>
          <c:tx>
            <c:strRef>
              <c:f>'Сводные таблицы'!$AL$2</c:f>
              <c:strCache>
                <c:ptCount val="1"/>
                <c:pt idx="0">
                  <c:v>Мясо птицы (экспорт, тыс. т)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'Сводные таблицы'!$AJ$3:$AJ$24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'Сводные таблицы'!$AL$3:$AL$24</c:f>
              <c:numCache>
                <c:formatCode>General</c:formatCode>
                <c:ptCount val="22"/>
                <c:pt idx="0">
                  <c:v>6.8</c:v>
                </c:pt>
                <c:pt idx="1">
                  <c:v>7.5</c:v>
                </c:pt>
                <c:pt idx="2">
                  <c:v>7.6</c:v>
                </c:pt>
                <c:pt idx="3">
                  <c:v>15.7</c:v>
                </c:pt>
                <c:pt idx="4">
                  <c:v>13.2</c:v>
                </c:pt>
                <c:pt idx="5">
                  <c:v>10.5</c:v>
                </c:pt>
                <c:pt idx="6">
                  <c:v>9</c:v>
                </c:pt>
                <c:pt idx="7">
                  <c:v>7.9</c:v>
                </c:pt>
                <c:pt idx="8">
                  <c:v>6.2</c:v>
                </c:pt>
                <c:pt idx="9">
                  <c:v>20.9</c:v>
                </c:pt>
                <c:pt idx="10">
                  <c:v>38.4</c:v>
                </c:pt>
                <c:pt idx="11">
                  <c:v>75</c:v>
                </c:pt>
                <c:pt idx="12">
                  <c:v>105.6</c:v>
                </c:pt>
                <c:pt idx="13">
                  <c:v>106.1</c:v>
                </c:pt>
                <c:pt idx="14">
                  <c:v>114.3</c:v>
                </c:pt>
                <c:pt idx="15">
                  <c:v>136.30000000000001</c:v>
                </c:pt>
                <c:pt idx="16">
                  <c:v>145.9</c:v>
                </c:pt>
                <c:pt idx="17">
                  <c:v>150.4</c:v>
                </c:pt>
                <c:pt idx="18">
                  <c:v>166.5</c:v>
                </c:pt>
                <c:pt idx="19">
                  <c:v>170.4</c:v>
                </c:pt>
                <c:pt idx="20">
                  <c:v>194</c:v>
                </c:pt>
                <c:pt idx="21">
                  <c:v>189.6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0B-42D4-B74D-1C7080177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980528"/>
        <c:axId val="95985808"/>
      </c:lineChart>
      <c:catAx>
        <c:axId val="9598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95985808"/>
        <c:crosses val="autoZero"/>
        <c:auto val="1"/>
        <c:lblAlgn val="ctr"/>
        <c:lblOffset val="100"/>
        <c:noMultiLvlLbl val="0"/>
      </c:catAx>
      <c:valAx>
        <c:axId val="9598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9598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1</xdr:row>
      <xdr:rowOff>163830</xdr:rowOff>
    </xdr:from>
    <xdr:to>
      <xdr:col>10</xdr:col>
      <xdr:colOff>419100</xdr:colOff>
      <xdr:row>16</xdr:row>
      <xdr:rowOff>163830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B47BDA2-F09C-BCFD-8771-958DE7995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114300</xdr:colOff>
      <xdr:row>1</xdr:row>
      <xdr:rowOff>255270</xdr:rowOff>
    </xdr:from>
    <xdr:to>
      <xdr:col>22</xdr:col>
      <xdr:colOff>419100</xdr:colOff>
      <xdr:row>16</xdr:row>
      <xdr:rowOff>102870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9362534-92E1-79FB-E88B-56429CC520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167640</xdr:colOff>
      <xdr:row>1</xdr:row>
      <xdr:rowOff>148590</xdr:rowOff>
    </xdr:from>
    <xdr:to>
      <xdr:col>34</xdr:col>
      <xdr:colOff>472440</xdr:colOff>
      <xdr:row>15</xdr:row>
      <xdr:rowOff>179070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C81F834D-F6B3-B6C0-E0C4-584ACC5750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152400</xdr:colOff>
      <xdr:row>1</xdr:row>
      <xdr:rowOff>125730</xdr:rowOff>
    </xdr:from>
    <xdr:to>
      <xdr:col>45</xdr:col>
      <xdr:colOff>457200</xdr:colOff>
      <xdr:row>14</xdr:row>
      <xdr:rowOff>3810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1E4DF0E-DCD1-0EC8-3CEC-1E4185312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25</xdr:col>
      <xdr:colOff>143774</xdr:colOff>
      <xdr:row>35</xdr:row>
      <xdr:rowOff>129397</xdr:rowOff>
    </xdr:from>
    <xdr:to>
      <xdr:col>46</xdr:col>
      <xdr:colOff>128674</xdr:colOff>
      <xdr:row>67</xdr:row>
      <xdr:rowOff>135389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C1386336-DCE4-22A2-2DAF-6A9604749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67472" y="6915510"/>
          <a:ext cx="12737617" cy="5541275"/>
        </a:xfrm>
        <a:prstGeom prst="rect">
          <a:avLst/>
        </a:prstGeom>
      </xdr:spPr>
    </xdr:pic>
    <xdr:clientData/>
  </xdr:twoCellAnchor>
  <xdr:twoCellAnchor editAs="oneCell">
    <xdr:from>
      <xdr:col>46</xdr:col>
      <xdr:colOff>135623</xdr:colOff>
      <xdr:row>1</xdr:row>
      <xdr:rowOff>236265</xdr:rowOff>
    </xdr:from>
    <xdr:to>
      <xdr:col>58</xdr:col>
      <xdr:colOff>149784</xdr:colOff>
      <xdr:row>32</xdr:row>
      <xdr:rowOff>162262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B5A27B97-6CB4-D6B7-25F6-B779F60BB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2038" y="408793"/>
          <a:ext cx="7260350" cy="6007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EFEBB-6C6F-4A00-93D4-F4532502E2C4}">
  <dimension ref="A1:AT61"/>
  <sheetViews>
    <sheetView tabSelected="1" topLeftCell="M1" zoomScale="53" workbookViewId="0">
      <selection activeCell="L48" sqref="L48"/>
    </sheetView>
  </sheetViews>
  <sheetFormatPr defaultRowHeight="13.8" x14ac:dyDescent="0.25"/>
  <cols>
    <col min="1" max="1" width="6" style="1" bestFit="1" customWidth="1"/>
    <col min="2" max="2" width="8" style="1" bestFit="1" customWidth="1"/>
    <col min="3" max="3" width="8.109375" style="1" bestFit="1" customWidth="1"/>
    <col min="4" max="5" width="8.88671875" style="1"/>
    <col min="6" max="6" width="8.88671875" style="1" customWidth="1"/>
    <col min="7" max="11" width="8.88671875" style="1"/>
    <col min="12" max="12" width="6.77734375" style="1" customWidth="1"/>
    <col min="13" max="13" width="13.21875" style="1" bestFit="1" customWidth="1"/>
    <col min="14" max="15" width="8.44140625" style="1" bestFit="1" customWidth="1"/>
    <col min="16" max="24" width="8.88671875" style="1"/>
    <col min="25" max="27" width="9" style="1" bestFit="1" customWidth="1"/>
    <col min="28" max="35" width="8.88671875" style="1"/>
    <col min="36" max="38" width="9" style="1" bestFit="1" customWidth="1"/>
    <col min="39" max="16384" width="8.88671875" style="1"/>
  </cols>
  <sheetData>
    <row r="1" spans="1:40" x14ac:dyDescent="0.25">
      <c r="A1" s="13" t="s">
        <v>3</v>
      </c>
      <c r="B1" s="14"/>
      <c r="C1" s="15"/>
      <c r="M1" s="13" t="s">
        <v>6</v>
      </c>
      <c r="N1" s="14"/>
      <c r="O1" s="15"/>
      <c r="Y1" s="13" t="s">
        <v>7</v>
      </c>
      <c r="Z1" s="14"/>
      <c r="AA1" s="15"/>
      <c r="AJ1" s="13" t="s">
        <v>12</v>
      </c>
      <c r="AK1" s="14"/>
      <c r="AL1" s="15"/>
    </row>
    <row r="2" spans="1:40" ht="69" x14ac:dyDescent="0.25">
      <c r="A2" s="2" t="s">
        <v>0</v>
      </c>
      <c r="B2" s="2" t="s">
        <v>1</v>
      </c>
      <c r="C2" s="2" t="s">
        <v>2</v>
      </c>
      <c r="M2" s="2" t="s">
        <v>0</v>
      </c>
      <c r="N2" s="2" t="s">
        <v>4</v>
      </c>
      <c r="O2" s="2" t="s">
        <v>5</v>
      </c>
      <c r="Y2" s="2" t="s">
        <v>0</v>
      </c>
      <c r="Z2" s="2" t="s">
        <v>8</v>
      </c>
      <c r="AA2" s="2" t="s">
        <v>9</v>
      </c>
      <c r="AJ2" s="2" t="s">
        <v>0</v>
      </c>
      <c r="AK2" s="2" t="s">
        <v>10</v>
      </c>
      <c r="AL2" s="2" t="s">
        <v>11</v>
      </c>
    </row>
    <row r="3" spans="1:40" x14ac:dyDescent="0.25">
      <c r="A3" s="3">
        <v>2000</v>
      </c>
      <c r="B3" s="3">
        <v>2175.5</v>
      </c>
      <c r="C3" s="4">
        <v>1391.2</v>
      </c>
      <c r="M3" s="3">
        <v>2000</v>
      </c>
      <c r="N3" s="3">
        <v>57.7</v>
      </c>
      <c r="O3" s="3">
        <v>0.5</v>
      </c>
      <c r="Y3" s="3">
        <v>2000</v>
      </c>
      <c r="Z3" s="3">
        <v>7650</v>
      </c>
      <c r="AA3" s="4">
        <v>6024</v>
      </c>
      <c r="AJ3" s="3">
        <v>2000</v>
      </c>
      <c r="AK3" s="4">
        <v>16.899999999999999</v>
      </c>
      <c r="AL3" s="3">
        <v>6.8</v>
      </c>
    </row>
    <row r="4" spans="1:40" x14ac:dyDescent="0.25">
      <c r="A4" s="3">
        <v>2001</v>
      </c>
      <c r="B4" s="3">
        <v>1932.6</v>
      </c>
      <c r="C4" s="3">
        <v>1431</v>
      </c>
      <c r="M4" s="3">
        <v>2001</v>
      </c>
      <c r="N4" s="3">
        <v>72</v>
      </c>
      <c r="O4" s="3">
        <v>0.2</v>
      </c>
      <c r="Y4" s="3">
        <v>2001</v>
      </c>
      <c r="Z4" s="3">
        <v>7747</v>
      </c>
      <c r="AA4" s="3">
        <v>6367</v>
      </c>
      <c r="AJ4" s="3">
        <v>2001</v>
      </c>
      <c r="AK4" s="3">
        <v>25.8</v>
      </c>
      <c r="AL4" s="3">
        <v>7.5</v>
      </c>
    </row>
    <row r="5" spans="1:40" x14ac:dyDescent="0.25">
      <c r="A5" s="3">
        <v>2002</v>
      </c>
      <c r="B5" s="4">
        <v>1888</v>
      </c>
      <c r="C5" s="3">
        <v>1452.9</v>
      </c>
      <c r="M5" s="3">
        <v>2002</v>
      </c>
      <c r="N5" s="3">
        <v>100</v>
      </c>
      <c r="O5" s="4">
        <v>0.1</v>
      </c>
      <c r="Y5" s="3">
        <v>2002</v>
      </c>
      <c r="Z5" s="3">
        <v>7667</v>
      </c>
      <c r="AA5" s="3">
        <v>7992</v>
      </c>
      <c r="AJ5" s="3">
        <v>2002</v>
      </c>
      <c r="AK5" s="3">
        <v>28.3</v>
      </c>
      <c r="AL5" s="3">
        <v>7.6</v>
      </c>
    </row>
    <row r="6" spans="1:40" x14ac:dyDescent="0.25">
      <c r="A6" s="3">
        <v>2003</v>
      </c>
      <c r="B6" s="3">
        <v>2465.4</v>
      </c>
      <c r="C6" s="3">
        <v>1413.5</v>
      </c>
      <c r="M6" s="3">
        <v>2003</v>
      </c>
      <c r="N6" s="3">
        <v>95.5</v>
      </c>
      <c r="O6" s="4">
        <v>0.1</v>
      </c>
      <c r="Y6" s="3">
        <v>2003</v>
      </c>
      <c r="Z6" s="5">
        <v>9204</v>
      </c>
      <c r="AA6" s="3">
        <v>7283</v>
      </c>
      <c r="AJ6" s="3">
        <v>2003</v>
      </c>
      <c r="AK6" s="3">
        <v>38.299999999999997</v>
      </c>
      <c r="AL6" s="3">
        <v>15.7</v>
      </c>
    </row>
    <row r="7" spans="1:40" x14ac:dyDescent="0.25">
      <c r="A7" s="3">
        <v>2004</v>
      </c>
      <c r="B7" s="3">
        <v>2657.5</v>
      </c>
      <c r="C7" s="3">
        <v>1498.3</v>
      </c>
      <c r="M7" s="3">
        <v>2004</v>
      </c>
      <c r="N7" s="3">
        <v>88.7</v>
      </c>
      <c r="O7" s="4">
        <v>0.1</v>
      </c>
      <c r="Y7" s="3">
        <v>2004</v>
      </c>
      <c r="Z7" s="3">
        <v>8581</v>
      </c>
      <c r="AA7" s="3">
        <v>6969</v>
      </c>
      <c r="AJ7" s="3">
        <v>2004</v>
      </c>
      <c r="AK7" s="3">
        <v>53.5</v>
      </c>
      <c r="AL7" s="3">
        <v>13.2</v>
      </c>
    </row>
    <row r="8" spans="1:40" x14ac:dyDescent="0.25">
      <c r="A8" s="3">
        <v>2005</v>
      </c>
      <c r="B8" s="3">
        <v>2572</v>
      </c>
      <c r="C8" s="3">
        <v>1631.4</v>
      </c>
      <c r="M8" s="3">
        <v>2005</v>
      </c>
      <c r="N8" s="3">
        <v>131.30000000000001</v>
      </c>
      <c r="O8" s="3">
        <v>0.03</v>
      </c>
      <c r="Y8" s="3">
        <v>2005</v>
      </c>
      <c r="Z8" s="3">
        <v>7473</v>
      </c>
      <c r="AA8" s="3">
        <v>6608</v>
      </c>
      <c r="AJ8" s="3">
        <v>2005</v>
      </c>
      <c r="AK8" s="3">
        <v>65.099999999999994</v>
      </c>
      <c r="AL8" s="3">
        <v>10.5</v>
      </c>
    </row>
    <row r="9" spans="1:40" x14ac:dyDescent="0.25">
      <c r="A9" s="3">
        <v>2006</v>
      </c>
      <c r="B9" s="3">
        <v>3180.7</v>
      </c>
      <c r="C9" s="3">
        <v>1825.9</v>
      </c>
      <c r="M9" s="3">
        <v>2006</v>
      </c>
      <c r="N9" s="3">
        <v>157</v>
      </c>
      <c r="O9" s="3">
        <v>0.03</v>
      </c>
      <c r="Y9" s="3">
        <v>2006</v>
      </c>
      <c r="Z9" s="3">
        <v>8315</v>
      </c>
      <c r="AA9" s="3">
        <v>7384</v>
      </c>
      <c r="AJ9" s="3">
        <v>2006</v>
      </c>
      <c r="AK9" s="3">
        <v>82.6</v>
      </c>
      <c r="AL9" s="3">
        <v>9</v>
      </c>
    </row>
    <row r="10" spans="1:40" x14ac:dyDescent="0.25">
      <c r="A10" s="3">
        <v>2007</v>
      </c>
      <c r="B10" s="3">
        <v>3287.6</v>
      </c>
      <c r="C10" s="3">
        <v>1857.3</v>
      </c>
      <c r="M10" s="3">
        <v>2007</v>
      </c>
      <c r="N10" s="3">
        <v>180.4</v>
      </c>
      <c r="O10" s="3">
        <v>0.04</v>
      </c>
      <c r="Y10" s="3">
        <v>2007</v>
      </c>
      <c r="Z10" s="3">
        <v>8755</v>
      </c>
      <c r="AA10" s="3">
        <v>8811</v>
      </c>
      <c r="AJ10" s="3">
        <v>2007</v>
      </c>
      <c r="AK10" s="3">
        <v>99</v>
      </c>
      <c r="AL10" s="3">
        <v>7.9</v>
      </c>
    </row>
    <row r="11" spans="1:40" x14ac:dyDescent="0.25">
      <c r="A11" s="3">
        <v>2008</v>
      </c>
      <c r="B11" s="3">
        <v>3402.7</v>
      </c>
      <c r="C11" s="3">
        <v>1903.9</v>
      </c>
      <c r="M11" s="3">
        <v>2008</v>
      </c>
      <c r="N11" s="3">
        <v>199.9</v>
      </c>
      <c r="O11" s="3">
        <v>0.5</v>
      </c>
      <c r="Y11" s="3">
        <v>2008</v>
      </c>
      <c r="Z11" s="3">
        <v>8564</v>
      </c>
      <c r="AA11" s="3">
        <v>8813</v>
      </c>
      <c r="AJ11" s="3">
        <v>2008</v>
      </c>
      <c r="AK11" s="3">
        <v>102</v>
      </c>
      <c r="AL11" s="4">
        <v>6.2</v>
      </c>
    </row>
    <row r="12" spans="1:40" x14ac:dyDescent="0.25">
      <c r="A12" s="3">
        <v>2009</v>
      </c>
      <c r="B12" s="3">
        <v>2712.6</v>
      </c>
      <c r="C12" s="3">
        <v>1863.9</v>
      </c>
      <c r="M12" s="3">
        <v>2009</v>
      </c>
      <c r="N12" s="3">
        <v>163.4</v>
      </c>
      <c r="O12" s="4">
        <v>0.01</v>
      </c>
      <c r="Y12" s="3">
        <v>2009</v>
      </c>
      <c r="Z12" s="3">
        <v>7997</v>
      </c>
      <c r="AA12" s="3">
        <v>6781</v>
      </c>
      <c r="AJ12" s="3">
        <v>2009</v>
      </c>
      <c r="AK12" s="3">
        <v>121.5</v>
      </c>
      <c r="AL12" s="3">
        <v>20.9</v>
      </c>
    </row>
    <row r="13" spans="1:40" x14ac:dyDescent="0.25">
      <c r="A13" s="3">
        <v>2010</v>
      </c>
      <c r="B13" s="5">
        <v>3537.7</v>
      </c>
      <c r="C13" s="3">
        <v>1747.2</v>
      </c>
      <c r="M13" s="3">
        <v>2010</v>
      </c>
      <c r="N13" s="3">
        <v>201.8</v>
      </c>
      <c r="O13" s="3">
        <v>24</v>
      </c>
      <c r="Y13" s="3">
        <v>2010</v>
      </c>
      <c r="Z13" s="3">
        <v>7387</v>
      </c>
      <c r="AA13" s="3">
        <v>7039</v>
      </c>
      <c r="AJ13" s="3">
        <v>2010</v>
      </c>
      <c r="AK13" s="3">
        <v>128.69999999999999</v>
      </c>
      <c r="AL13" s="3">
        <v>38.4</v>
      </c>
    </row>
    <row r="14" spans="1:40" x14ac:dyDescent="0.25">
      <c r="A14" s="3">
        <v>2011</v>
      </c>
      <c r="B14" s="3">
        <v>3513.1</v>
      </c>
      <c r="C14" s="3">
        <v>1774.9</v>
      </c>
      <c r="M14" s="3" t="s">
        <v>16</v>
      </c>
      <c r="N14" s="5">
        <v>284.10000000000002</v>
      </c>
      <c r="O14" s="5">
        <v>112.7</v>
      </c>
      <c r="Y14" s="3">
        <v>2011</v>
      </c>
      <c r="Z14" s="4">
        <v>6402</v>
      </c>
      <c r="AA14" s="3">
        <v>8065</v>
      </c>
      <c r="AJ14" s="3">
        <v>2011</v>
      </c>
      <c r="AK14" s="3">
        <v>132.19999999999999</v>
      </c>
      <c r="AL14" s="3">
        <v>75</v>
      </c>
    </row>
    <row r="15" spans="1:40" x14ac:dyDescent="0.25">
      <c r="A15" s="3">
        <v>2012</v>
      </c>
      <c r="B15" s="3">
        <v>3436.6</v>
      </c>
      <c r="C15" s="3">
        <v>1974.3</v>
      </c>
      <c r="M15" s="3">
        <v>2012</v>
      </c>
      <c r="N15" s="3">
        <v>83.7</v>
      </c>
      <c r="O15" s="3">
        <v>59.1</v>
      </c>
      <c r="Y15" s="3">
        <v>2012</v>
      </c>
      <c r="Z15" s="3">
        <v>6721</v>
      </c>
      <c r="AA15" s="3">
        <v>10820</v>
      </c>
      <c r="AJ15" s="3">
        <v>2012</v>
      </c>
      <c r="AK15" s="3">
        <v>144.4</v>
      </c>
      <c r="AL15" s="3">
        <v>105.6</v>
      </c>
    </row>
    <row r="16" spans="1:40" x14ac:dyDescent="0.25">
      <c r="A16" s="3">
        <v>2013</v>
      </c>
      <c r="B16" s="3">
        <v>3469.6</v>
      </c>
      <c r="C16" s="3">
        <v>1663.3</v>
      </c>
      <c r="M16" s="3">
        <v>2013</v>
      </c>
      <c r="N16" s="3">
        <v>102.5</v>
      </c>
      <c r="O16" s="3">
        <v>38.6</v>
      </c>
      <c r="Y16" s="3">
        <v>2013</v>
      </c>
      <c r="Z16" s="3">
        <v>7766</v>
      </c>
      <c r="AA16" s="3">
        <v>9776</v>
      </c>
      <c r="AJ16" s="3">
        <v>2013</v>
      </c>
      <c r="AK16" s="3">
        <v>140.5</v>
      </c>
      <c r="AL16" s="3">
        <v>106.1</v>
      </c>
      <c r="AN16" s="1" t="s">
        <v>13</v>
      </c>
    </row>
    <row r="17" spans="1:46" ht="13.8" customHeight="1" x14ac:dyDescent="0.25">
      <c r="A17" s="3">
        <v>2014</v>
      </c>
      <c r="B17" s="3">
        <v>3061.4</v>
      </c>
      <c r="C17" s="3">
        <v>1917</v>
      </c>
      <c r="M17" s="3">
        <v>2014</v>
      </c>
      <c r="N17" s="3">
        <v>159.6</v>
      </c>
      <c r="O17" s="3">
        <v>8.6999999999999993</v>
      </c>
      <c r="Y17" s="3">
        <v>2014</v>
      </c>
      <c r="Z17" s="3">
        <v>8134</v>
      </c>
      <c r="AA17" s="3">
        <v>9403</v>
      </c>
      <c r="AJ17" s="3">
        <v>2014</v>
      </c>
      <c r="AK17" s="3">
        <v>166.7</v>
      </c>
      <c r="AL17" s="3">
        <v>114.3</v>
      </c>
      <c r="AN17" s="11" t="s">
        <v>21</v>
      </c>
      <c r="AO17" s="11"/>
      <c r="AP17" s="11"/>
      <c r="AQ17" s="11"/>
      <c r="AR17" s="11"/>
      <c r="AS17" s="11"/>
      <c r="AT17" s="8"/>
    </row>
    <row r="18" spans="1:46" ht="15" customHeight="1" x14ac:dyDescent="0.25">
      <c r="A18" s="3">
        <v>2015</v>
      </c>
      <c r="B18" s="3">
        <v>2762.4</v>
      </c>
      <c r="C18" s="3">
        <v>1994.7</v>
      </c>
      <c r="M18" s="3">
        <v>2015</v>
      </c>
      <c r="N18" s="3">
        <v>96.5</v>
      </c>
      <c r="O18" s="3">
        <v>9.1</v>
      </c>
      <c r="Y18" s="9">
        <v>2015</v>
      </c>
      <c r="Z18" s="9">
        <v>6497</v>
      </c>
      <c r="AA18" s="9">
        <v>9691</v>
      </c>
      <c r="AC18" s="1" t="s">
        <v>13</v>
      </c>
      <c r="AJ18" s="3">
        <v>2015</v>
      </c>
      <c r="AK18" s="3">
        <v>182.5</v>
      </c>
      <c r="AL18" s="3">
        <v>136.30000000000001</v>
      </c>
      <c r="AN18" s="11"/>
      <c r="AO18" s="11"/>
      <c r="AP18" s="11"/>
      <c r="AQ18" s="11"/>
      <c r="AR18" s="11"/>
      <c r="AS18" s="11"/>
      <c r="AT18" s="8"/>
    </row>
    <row r="19" spans="1:46" ht="13.8" customHeight="1" x14ac:dyDescent="0.25">
      <c r="A19" s="3">
        <v>2016</v>
      </c>
      <c r="B19" s="3">
        <v>2705.4</v>
      </c>
      <c r="C19" s="3">
        <v>1696.8</v>
      </c>
      <c r="E19" s="1" t="s">
        <v>13</v>
      </c>
      <c r="M19" s="3">
        <v>2016</v>
      </c>
      <c r="N19" s="3">
        <v>55.9</v>
      </c>
      <c r="O19" s="3">
        <v>12.4</v>
      </c>
      <c r="Q19" s="1" t="s">
        <v>13</v>
      </c>
      <c r="Y19" s="3">
        <v>2016</v>
      </c>
      <c r="Z19" s="3">
        <v>6436</v>
      </c>
      <c r="AA19" s="3">
        <v>9676</v>
      </c>
      <c r="AC19" s="11" t="s">
        <v>19</v>
      </c>
      <c r="AD19" s="11"/>
      <c r="AE19" s="11"/>
      <c r="AF19" s="11"/>
      <c r="AG19" s="11"/>
      <c r="AH19" s="11"/>
      <c r="AI19" s="8"/>
      <c r="AJ19" s="3">
        <v>2016</v>
      </c>
      <c r="AK19" s="3">
        <v>205</v>
      </c>
      <c r="AL19" s="3">
        <v>145.9</v>
      </c>
      <c r="AN19" s="11"/>
      <c r="AO19" s="11"/>
      <c r="AP19" s="11"/>
      <c r="AQ19" s="11"/>
      <c r="AR19" s="11"/>
      <c r="AS19" s="11"/>
      <c r="AT19" s="8"/>
    </row>
    <row r="20" spans="1:46" ht="15" customHeight="1" x14ac:dyDescent="0.25">
      <c r="A20" s="3">
        <v>2017</v>
      </c>
      <c r="B20" s="3">
        <v>3147.6</v>
      </c>
      <c r="C20" s="3">
        <v>1771.5</v>
      </c>
      <c r="E20" s="11" t="s">
        <v>17</v>
      </c>
      <c r="F20" s="16"/>
      <c r="G20" s="16"/>
      <c r="H20" s="16"/>
      <c r="I20" s="16"/>
      <c r="J20" s="16"/>
      <c r="K20" s="16"/>
      <c r="M20" s="3">
        <v>2017</v>
      </c>
      <c r="N20" s="4">
        <v>54.9</v>
      </c>
      <c r="O20" s="3">
        <v>4.0999999999999996</v>
      </c>
      <c r="Q20" s="11" t="s">
        <v>18</v>
      </c>
      <c r="R20" s="16"/>
      <c r="S20" s="16"/>
      <c r="T20" s="16"/>
      <c r="U20" s="16"/>
      <c r="V20" s="16"/>
      <c r="W20" s="16"/>
      <c r="Y20" s="3">
        <v>2017</v>
      </c>
      <c r="Z20" s="3">
        <v>8053</v>
      </c>
      <c r="AA20" s="3">
        <v>10364</v>
      </c>
      <c r="AC20" s="11"/>
      <c r="AD20" s="11"/>
      <c r="AE20" s="11"/>
      <c r="AF20" s="11"/>
      <c r="AG20" s="11"/>
      <c r="AH20" s="11"/>
      <c r="AI20" s="8"/>
      <c r="AJ20" s="3">
        <v>2017</v>
      </c>
      <c r="AK20" s="3">
        <v>189.4</v>
      </c>
      <c r="AL20" s="3">
        <v>150.4</v>
      </c>
      <c r="AN20" s="11"/>
      <c r="AO20" s="11"/>
      <c r="AP20" s="11"/>
      <c r="AQ20" s="11"/>
      <c r="AR20" s="11"/>
      <c r="AS20" s="11"/>
      <c r="AT20" s="8"/>
    </row>
    <row r="21" spans="1:46" ht="13.8" customHeight="1" x14ac:dyDescent="0.25">
      <c r="A21" s="3">
        <v>2018</v>
      </c>
      <c r="B21" s="3">
        <v>3440.9</v>
      </c>
      <c r="C21" s="3">
        <v>1923.7</v>
      </c>
      <c r="E21" s="16"/>
      <c r="F21" s="16"/>
      <c r="G21" s="16"/>
      <c r="H21" s="16"/>
      <c r="I21" s="16"/>
      <c r="J21" s="16"/>
      <c r="K21" s="16"/>
      <c r="M21" s="3">
        <v>2018</v>
      </c>
      <c r="N21" s="3">
        <v>86.9</v>
      </c>
      <c r="O21" s="3">
        <v>11.2</v>
      </c>
      <c r="Q21" s="16"/>
      <c r="R21" s="16"/>
      <c r="S21" s="16"/>
      <c r="T21" s="16"/>
      <c r="U21" s="16"/>
      <c r="V21" s="16"/>
      <c r="W21" s="16"/>
      <c r="Y21" s="3">
        <v>2018</v>
      </c>
      <c r="Z21" s="3">
        <v>7399</v>
      </c>
      <c r="AA21" s="3">
        <v>10404</v>
      </c>
      <c r="AC21" s="11"/>
      <c r="AD21" s="11"/>
      <c r="AE21" s="11"/>
      <c r="AF21" s="11"/>
      <c r="AG21" s="11"/>
      <c r="AH21" s="11"/>
      <c r="AI21" s="8"/>
      <c r="AJ21" s="3">
        <v>2018</v>
      </c>
      <c r="AK21" s="3">
        <v>211.2</v>
      </c>
      <c r="AL21" s="3">
        <v>166.5</v>
      </c>
      <c r="AN21" s="11"/>
      <c r="AO21" s="11"/>
      <c r="AP21" s="11"/>
      <c r="AQ21" s="11"/>
      <c r="AR21" s="11"/>
      <c r="AS21" s="11"/>
      <c r="AT21" s="8"/>
    </row>
    <row r="22" spans="1:46" ht="13.8" customHeight="1" x14ac:dyDescent="0.25">
      <c r="A22" s="3">
        <v>2019</v>
      </c>
      <c r="B22" s="3">
        <v>3278.8</v>
      </c>
      <c r="C22" s="5">
        <v>2086.8000000000002</v>
      </c>
      <c r="E22" s="16"/>
      <c r="F22" s="16"/>
      <c r="G22" s="16"/>
      <c r="H22" s="16"/>
      <c r="I22" s="16"/>
      <c r="J22" s="16"/>
      <c r="K22" s="16"/>
      <c r="M22" s="3">
        <v>2019</v>
      </c>
      <c r="N22" s="3">
        <v>106.6</v>
      </c>
      <c r="O22" s="3">
        <v>19.899999999999999</v>
      </c>
      <c r="Q22" s="16"/>
      <c r="R22" s="16"/>
      <c r="S22" s="16"/>
      <c r="T22" s="16"/>
      <c r="U22" s="16"/>
      <c r="V22" s="16"/>
      <c r="W22" s="16"/>
      <c r="Y22" s="3">
        <v>2019</v>
      </c>
      <c r="Z22" s="3">
        <v>8794</v>
      </c>
      <c r="AA22" s="5">
        <v>12662</v>
      </c>
      <c r="AC22" s="11"/>
      <c r="AD22" s="11"/>
      <c r="AE22" s="11"/>
      <c r="AF22" s="11"/>
      <c r="AG22" s="11"/>
      <c r="AH22" s="11"/>
      <c r="AI22" s="8"/>
      <c r="AJ22" s="3">
        <v>2019</v>
      </c>
      <c r="AK22" s="3">
        <v>244.1</v>
      </c>
      <c r="AL22" s="3">
        <v>170.4</v>
      </c>
      <c r="AN22" s="11"/>
      <c r="AO22" s="11"/>
      <c r="AP22" s="11"/>
      <c r="AQ22" s="11"/>
      <c r="AR22" s="11"/>
      <c r="AS22" s="11"/>
      <c r="AT22" s="8"/>
    </row>
    <row r="23" spans="1:46" ht="13.8" customHeight="1" x14ac:dyDescent="0.25">
      <c r="A23" s="3">
        <v>2020</v>
      </c>
      <c r="B23" s="3">
        <v>3039.7</v>
      </c>
      <c r="C23" s="3">
        <v>1967.2</v>
      </c>
      <c r="E23" s="16"/>
      <c r="F23" s="16"/>
      <c r="G23" s="16"/>
      <c r="H23" s="16"/>
      <c r="I23" s="16"/>
      <c r="J23" s="16"/>
      <c r="K23" s="16"/>
      <c r="M23" s="3">
        <v>2020</v>
      </c>
      <c r="N23" s="3">
        <v>93.5</v>
      </c>
      <c r="O23" s="3">
        <v>40.1</v>
      </c>
      <c r="Q23" s="16"/>
      <c r="R23" s="16"/>
      <c r="S23" s="16"/>
      <c r="T23" s="16"/>
      <c r="U23" s="16"/>
      <c r="V23" s="16"/>
      <c r="W23" s="16"/>
      <c r="Y23" s="3">
        <v>2020</v>
      </c>
      <c r="Z23" s="3">
        <v>8998</v>
      </c>
      <c r="AA23" s="3">
        <v>12239</v>
      </c>
      <c r="AB23" s="10" t="s">
        <v>20</v>
      </c>
      <c r="AC23" s="11"/>
      <c r="AD23" s="11"/>
      <c r="AE23" s="11"/>
      <c r="AF23" s="11"/>
      <c r="AG23" s="11"/>
      <c r="AH23" s="11"/>
      <c r="AI23" s="8"/>
      <c r="AJ23" s="3">
        <v>2020</v>
      </c>
      <c r="AK23" s="3">
        <v>274.5</v>
      </c>
      <c r="AL23" s="5">
        <v>194</v>
      </c>
      <c r="AN23" s="11"/>
      <c r="AO23" s="11"/>
      <c r="AP23" s="11"/>
      <c r="AQ23" s="11"/>
      <c r="AR23" s="11"/>
      <c r="AS23" s="11"/>
      <c r="AT23" s="8"/>
    </row>
    <row r="24" spans="1:46" ht="13.8" customHeight="1" x14ac:dyDescent="0.25">
      <c r="A24" s="3">
        <v>2021</v>
      </c>
      <c r="B24" s="3">
        <v>3086.2</v>
      </c>
      <c r="C24" s="3">
        <v>1841.6</v>
      </c>
      <c r="E24" s="16"/>
      <c r="F24" s="16"/>
      <c r="G24" s="16"/>
      <c r="H24" s="16"/>
      <c r="I24" s="16"/>
      <c r="J24" s="16"/>
      <c r="K24" s="16"/>
      <c r="M24" s="3">
        <v>2021</v>
      </c>
      <c r="N24" s="3">
        <v>114.5</v>
      </c>
      <c r="O24" s="3">
        <v>58.5</v>
      </c>
      <c r="Q24" s="16"/>
      <c r="R24" s="16"/>
      <c r="S24" s="16"/>
      <c r="T24" s="16"/>
      <c r="U24" s="16"/>
      <c r="V24" s="16"/>
      <c r="W24" s="16"/>
      <c r="Y24" s="3">
        <v>2021</v>
      </c>
      <c r="Z24" s="3">
        <v>7500</v>
      </c>
      <c r="AA24" s="3">
        <v>11760</v>
      </c>
      <c r="AB24" s="10">
        <f>AA24-Z24</f>
        <v>4260</v>
      </c>
      <c r="AC24" s="11"/>
      <c r="AD24" s="11"/>
      <c r="AE24" s="11"/>
      <c r="AF24" s="11"/>
      <c r="AG24" s="11"/>
      <c r="AH24" s="11"/>
      <c r="AI24" s="8"/>
      <c r="AJ24" s="3">
        <v>2021</v>
      </c>
      <c r="AK24" s="5">
        <v>298.3</v>
      </c>
      <c r="AL24" s="3">
        <v>189.6</v>
      </c>
      <c r="AN24" s="11"/>
      <c r="AO24" s="11"/>
      <c r="AP24" s="11"/>
      <c r="AQ24" s="11"/>
      <c r="AR24" s="11"/>
      <c r="AS24" s="11"/>
      <c r="AT24" s="8"/>
    </row>
    <row r="25" spans="1:46" ht="13.8" customHeight="1" x14ac:dyDescent="0.25">
      <c r="A25" s="6" t="s">
        <v>14</v>
      </c>
      <c r="B25" s="6">
        <f>MIN(B3:B24)</f>
        <v>1888</v>
      </c>
      <c r="C25" s="6">
        <f>MIN(C3:C24)</f>
        <v>1391.2</v>
      </c>
      <c r="E25" s="16"/>
      <c r="F25" s="16"/>
      <c r="G25" s="16"/>
      <c r="H25" s="16"/>
      <c r="I25" s="16"/>
      <c r="J25" s="16"/>
      <c r="K25" s="16"/>
      <c r="M25" s="6" t="s">
        <v>14</v>
      </c>
      <c r="N25" s="6">
        <f>MIN(N3:N24)</f>
        <v>54.9</v>
      </c>
      <c r="O25" s="6">
        <f>MIN(O3:O24)</f>
        <v>0.01</v>
      </c>
      <c r="Q25" s="16"/>
      <c r="R25" s="16"/>
      <c r="S25" s="16"/>
      <c r="T25" s="16"/>
      <c r="U25" s="16"/>
      <c r="V25" s="16"/>
      <c r="W25" s="16"/>
      <c r="Y25" s="6" t="s">
        <v>14</v>
      </c>
      <c r="Z25" s="6">
        <f>MIN(Z3:Z24)</f>
        <v>6402</v>
      </c>
      <c r="AA25" s="6">
        <f>MIN(AA3:AA24)</f>
        <v>6024</v>
      </c>
      <c r="AC25" s="11"/>
      <c r="AD25" s="11"/>
      <c r="AE25" s="11"/>
      <c r="AF25" s="11"/>
      <c r="AG25" s="11"/>
      <c r="AH25" s="11"/>
      <c r="AI25" s="8"/>
      <c r="AJ25" s="6" t="s">
        <v>14</v>
      </c>
      <c r="AK25" s="6">
        <f>MIN(AK3:AK24)</f>
        <v>16.899999999999999</v>
      </c>
      <c r="AL25" s="6">
        <f>MIN(AL3:AL24)</f>
        <v>6.2</v>
      </c>
      <c r="AN25" s="11"/>
      <c r="AO25" s="11"/>
      <c r="AP25" s="11"/>
      <c r="AQ25" s="11"/>
      <c r="AR25" s="11"/>
      <c r="AS25" s="11"/>
      <c r="AT25" s="8"/>
    </row>
    <row r="26" spans="1:46" ht="13.8" customHeight="1" x14ac:dyDescent="0.25">
      <c r="A26" s="6" t="s">
        <v>15</v>
      </c>
      <c r="B26" s="6">
        <f>MAX(B3:B24)</f>
        <v>3537.7</v>
      </c>
      <c r="C26" s="6">
        <f>MAX(C3:C24)</f>
        <v>2086.8000000000002</v>
      </c>
      <c r="E26" s="16"/>
      <c r="F26" s="16"/>
      <c r="G26" s="16"/>
      <c r="H26" s="16"/>
      <c r="I26" s="16"/>
      <c r="J26" s="16"/>
      <c r="K26" s="16"/>
      <c r="M26" s="6" t="s">
        <v>15</v>
      </c>
      <c r="N26" s="6">
        <f>MAX(N3:N24)</f>
        <v>284.10000000000002</v>
      </c>
      <c r="O26" s="6">
        <f>MAX(O3:O24)</f>
        <v>112.7</v>
      </c>
      <c r="Q26" s="16"/>
      <c r="R26" s="16"/>
      <c r="S26" s="16"/>
      <c r="T26" s="16"/>
      <c r="U26" s="16"/>
      <c r="V26" s="16"/>
      <c r="W26" s="16"/>
      <c r="Y26" s="6" t="s">
        <v>15</v>
      </c>
      <c r="Z26" s="6">
        <f>MAX(Z3:Z24)</f>
        <v>9204</v>
      </c>
      <c r="AA26" s="6">
        <f>MAX(AA3:AA24)</f>
        <v>12662</v>
      </c>
      <c r="AC26" s="11"/>
      <c r="AD26" s="11"/>
      <c r="AE26" s="11"/>
      <c r="AF26" s="11"/>
      <c r="AG26" s="11"/>
      <c r="AH26" s="11"/>
      <c r="AI26" s="8"/>
      <c r="AJ26" s="6" t="s">
        <v>15</v>
      </c>
      <c r="AK26" s="6">
        <f>MAX(AK3:AK24)</f>
        <v>298.3</v>
      </c>
      <c r="AL26" s="6">
        <f>MAX(AL3:AL24)</f>
        <v>194</v>
      </c>
      <c r="AN26" s="11"/>
      <c r="AO26" s="11"/>
      <c r="AP26" s="11"/>
      <c r="AQ26" s="11"/>
      <c r="AR26" s="11"/>
      <c r="AS26" s="11"/>
      <c r="AT26" s="8"/>
    </row>
    <row r="27" spans="1:46" ht="13.8" customHeight="1" x14ac:dyDescent="0.25">
      <c r="E27" s="16"/>
      <c r="F27" s="16"/>
      <c r="G27" s="16"/>
      <c r="H27" s="16"/>
      <c r="I27" s="16"/>
      <c r="J27" s="16"/>
      <c r="K27" s="16"/>
      <c r="Q27" s="16"/>
      <c r="R27" s="16"/>
      <c r="S27" s="16"/>
      <c r="T27" s="16"/>
      <c r="U27" s="16"/>
      <c r="V27" s="16"/>
      <c r="W27" s="16"/>
      <c r="AC27" s="11"/>
      <c r="AD27" s="11"/>
      <c r="AE27" s="11"/>
      <c r="AF27" s="11"/>
      <c r="AG27" s="11"/>
      <c r="AH27" s="11"/>
      <c r="AI27" s="8"/>
      <c r="AN27" s="11"/>
      <c r="AO27" s="11"/>
      <c r="AP27" s="11"/>
      <c r="AQ27" s="11"/>
      <c r="AR27" s="11"/>
      <c r="AS27" s="11"/>
      <c r="AT27" s="8"/>
    </row>
    <row r="28" spans="1:46" ht="13.8" customHeight="1" x14ac:dyDescent="0.25">
      <c r="E28" s="16"/>
      <c r="F28" s="16"/>
      <c r="G28" s="16"/>
      <c r="H28" s="16"/>
      <c r="I28" s="16"/>
      <c r="J28" s="16"/>
      <c r="K28" s="16"/>
      <c r="Q28" s="16"/>
      <c r="R28" s="16"/>
      <c r="S28" s="16"/>
      <c r="T28" s="16"/>
      <c r="U28" s="16"/>
      <c r="V28" s="16"/>
      <c r="W28" s="16"/>
      <c r="AC28" s="11"/>
      <c r="AD28" s="11"/>
      <c r="AE28" s="11"/>
      <c r="AF28" s="11"/>
      <c r="AG28" s="11"/>
      <c r="AH28" s="11"/>
      <c r="AI28" s="8"/>
      <c r="AN28" s="11"/>
      <c r="AO28" s="11"/>
      <c r="AP28" s="11"/>
      <c r="AQ28" s="11"/>
      <c r="AR28" s="11"/>
      <c r="AS28" s="11"/>
      <c r="AT28" s="8"/>
    </row>
    <row r="29" spans="1:46" ht="13.8" customHeight="1" x14ac:dyDescent="0.25">
      <c r="E29" s="16"/>
      <c r="F29" s="16"/>
      <c r="G29" s="16"/>
      <c r="H29" s="16"/>
      <c r="I29" s="16"/>
      <c r="J29" s="16"/>
      <c r="K29" s="16"/>
      <c r="Q29" s="16"/>
      <c r="R29" s="16"/>
      <c r="S29" s="16"/>
      <c r="T29" s="16"/>
      <c r="U29" s="16"/>
      <c r="V29" s="16"/>
      <c r="W29" s="16"/>
      <c r="AC29" s="11"/>
      <c r="AD29" s="11"/>
      <c r="AE29" s="11"/>
      <c r="AF29" s="11"/>
      <c r="AG29" s="11"/>
      <c r="AH29" s="11"/>
      <c r="AI29" s="8"/>
      <c r="AN29" s="11"/>
      <c r="AO29" s="11"/>
      <c r="AP29" s="11"/>
      <c r="AQ29" s="11"/>
      <c r="AR29" s="11"/>
      <c r="AS29" s="11"/>
      <c r="AT29" s="8"/>
    </row>
    <row r="30" spans="1:46" ht="13.8" customHeight="1" x14ac:dyDescent="0.25">
      <c r="E30" s="16"/>
      <c r="F30" s="16"/>
      <c r="G30" s="16"/>
      <c r="H30" s="16"/>
      <c r="I30" s="16"/>
      <c r="J30" s="16"/>
      <c r="K30" s="16"/>
      <c r="Q30" s="16"/>
      <c r="R30" s="16"/>
      <c r="S30" s="16"/>
      <c r="T30" s="16"/>
      <c r="U30" s="16"/>
      <c r="V30" s="16"/>
      <c r="W30" s="16"/>
      <c r="AC30" s="11"/>
      <c r="AD30" s="11"/>
      <c r="AE30" s="11"/>
      <c r="AF30" s="11"/>
      <c r="AG30" s="11"/>
      <c r="AH30" s="11"/>
      <c r="AI30" s="8"/>
      <c r="AN30" s="11"/>
      <c r="AO30" s="11"/>
      <c r="AP30" s="11"/>
      <c r="AQ30" s="11"/>
      <c r="AR30" s="11"/>
      <c r="AS30" s="11"/>
      <c r="AT30" s="8"/>
    </row>
    <row r="31" spans="1:46" ht="13.8" customHeight="1" x14ac:dyDescent="0.25">
      <c r="E31" s="16"/>
      <c r="F31" s="16"/>
      <c r="G31" s="16"/>
      <c r="H31" s="16"/>
      <c r="I31" s="16"/>
      <c r="J31" s="16"/>
      <c r="K31" s="16"/>
      <c r="Q31" s="16"/>
      <c r="R31" s="16"/>
      <c r="S31" s="16"/>
      <c r="T31" s="16"/>
      <c r="U31" s="16"/>
      <c r="V31" s="16"/>
      <c r="W31" s="16"/>
      <c r="AC31" s="11"/>
      <c r="AD31" s="11"/>
      <c r="AE31" s="11"/>
      <c r="AF31" s="11"/>
      <c r="AG31" s="11"/>
      <c r="AH31" s="11"/>
      <c r="AI31" s="8"/>
      <c r="AN31" s="11"/>
      <c r="AO31" s="11"/>
      <c r="AP31" s="11"/>
      <c r="AQ31" s="11"/>
      <c r="AR31" s="11"/>
      <c r="AS31" s="11"/>
      <c r="AT31" s="8"/>
    </row>
    <row r="32" spans="1:46" ht="13.8" customHeight="1" x14ac:dyDescent="0.25">
      <c r="E32" s="16"/>
      <c r="F32" s="16"/>
      <c r="G32" s="16"/>
      <c r="H32" s="16"/>
      <c r="I32" s="16"/>
      <c r="J32" s="16"/>
      <c r="K32" s="16"/>
      <c r="Q32" s="16"/>
      <c r="R32" s="16"/>
      <c r="S32" s="16"/>
      <c r="T32" s="16"/>
      <c r="U32" s="16"/>
      <c r="V32" s="16"/>
      <c r="W32" s="16"/>
      <c r="AC32" s="11"/>
      <c r="AD32" s="11"/>
      <c r="AE32" s="11"/>
      <c r="AF32" s="11"/>
      <c r="AG32" s="11"/>
      <c r="AH32" s="11"/>
      <c r="AI32" s="8"/>
      <c r="AN32" s="11"/>
      <c r="AO32" s="11"/>
      <c r="AP32" s="11"/>
      <c r="AQ32" s="11"/>
      <c r="AR32" s="11"/>
      <c r="AS32" s="11"/>
      <c r="AT32" s="8"/>
    </row>
    <row r="33" spans="5:46" ht="13.8" customHeight="1" x14ac:dyDescent="0.25">
      <c r="E33" s="16"/>
      <c r="F33" s="16"/>
      <c r="G33" s="16"/>
      <c r="H33" s="16"/>
      <c r="I33" s="16"/>
      <c r="J33" s="16"/>
      <c r="K33" s="16"/>
      <c r="Q33" s="16"/>
      <c r="R33" s="16"/>
      <c r="S33" s="16"/>
      <c r="T33" s="16"/>
      <c r="U33" s="16"/>
      <c r="V33" s="16"/>
      <c r="W33" s="16"/>
      <c r="AC33" s="11"/>
      <c r="AD33" s="11"/>
      <c r="AE33" s="11"/>
      <c r="AF33" s="11"/>
      <c r="AG33" s="11"/>
      <c r="AH33" s="11"/>
      <c r="AI33" s="8"/>
      <c r="AN33" s="11"/>
      <c r="AO33" s="11"/>
      <c r="AP33" s="11"/>
      <c r="AQ33" s="11"/>
      <c r="AR33" s="11"/>
      <c r="AS33" s="11"/>
      <c r="AT33" s="8"/>
    </row>
    <row r="34" spans="5:46" ht="15" customHeight="1" x14ac:dyDescent="0.35">
      <c r="E34" s="16"/>
      <c r="F34" s="16"/>
      <c r="G34" s="16"/>
      <c r="H34" s="16"/>
      <c r="I34" s="16"/>
      <c r="J34" s="16"/>
      <c r="K34" s="16"/>
      <c r="Q34" s="16"/>
      <c r="R34" s="16"/>
      <c r="S34" s="16"/>
      <c r="T34" s="16"/>
      <c r="U34" s="16"/>
      <c r="V34" s="16"/>
      <c r="W34" s="16"/>
      <c r="Y34" s="7"/>
      <c r="AC34" s="11"/>
      <c r="AD34" s="11"/>
      <c r="AE34" s="11"/>
      <c r="AF34" s="11"/>
      <c r="AG34" s="11"/>
      <c r="AH34" s="11"/>
      <c r="AI34" s="8"/>
    </row>
    <row r="35" spans="5:46" ht="13.8" customHeight="1" x14ac:dyDescent="0.25">
      <c r="E35" s="16"/>
      <c r="F35" s="16"/>
      <c r="G35" s="16"/>
      <c r="H35" s="16"/>
      <c r="I35" s="16"/>
      <c r="J35" s="16"/>
      <c r="K35" s="16"/>
      <c r="Q35" s="16"/>
      <c r="R35" s="16"/>
      <c r="S35" s="16"/>
      <c r="T35" s="16"/>
      <c r="U35" s="16"/>
      <c r="V35" s="16"/>
      <c r="W35" s="16"/>
      <c r="AC35" s="11"/>
      <c r="AD35" s="11"/>
      <c r="AE35" s="11"/>
      <c r="AF35" s="11"/>
      <c r="AG35" s="11"/>
      <c r="AH35" s="11"/>
      <c r="AI35" s="8"/>
    </row>
    <row r="36" spans="5:46" x14ac:dyDescent="0.25">
      <c r="E36" s="16"/>
      <c r="F36" s="16"/>
      <c r="G36" s="16"/>
      <c r="H36" s="16"/>
      <c r="I36" s="16"/>
      <c r="J36" s="16"/>
      <c r="K36" s="16"/>
      <c r="Q36" s="16"/>
      <c r="R36" s="16"/>
      <c r="S36" s="16"/>
      <c r="T36" s="16"/>
      <c r="U36" s="16"/>
      <c r="V36" s="16"/>
      <c r="W36" s="16"/>
    </row>
    <row r="40" spans="5:46" ht="14.4" customHeight="1" x14ac:dyDescent="0.3">
      <c r="Q40" s="12" t="s">
        <v>23</v>
      </c>
      <c r="R40" s="12"/>
      <c r="S40" s="12"/>
      <c r="T40" s="12"/>
      <c r="U40" s="12"/>
      <c r="V40" s="12"/>
      <c r="W40" s="12"/>
      <c r="X40" s="12"/>
      <c r="Y40" s="12"/>
    </row>
    <row r="41" spans="5:46" ht="13.8" customHeight="1" x14ac:dyDescent="0.25">
      <c r="Q41" s="11" t="s">
        <v>22</v>
      </c>
      <c r="R41" s="11"/>
      <c r="S41" s="11"/>
      <c r="T41" s="11"/>
      <c r="U41" s="11"/>
      <c r="V41" s="11"/>
      <c r="W41" s="11"/>
      <c r="X41" s="11"/>
      <c r="Y41" s="11"/>
    </row>
    <row r="42" spans="5:46" ht="13.8" customHeight="1" x14ac:dyDescent="0.25">
      <c r="Q42" s="11"/>
      <c r="R42" s="11"/>
      <c r="S42" s="11"/>
      <c r="T42" s="11"/>
      <c r="U42" s="11"/>
      <c r="V42" s="11"/>
      <c r="W42" s="11"/>
      <c r="X42" s="11"/>
      <c r="Y42" s="11"/>
    </row>
    <row r="43" spans="5:46" ht="13.8" customHeight="1" x14ac:dyDescent="0.25">
      <c r="Q43" s="11"/>
      <c r="R43" s="11"/>
      <c r="S43" s="11"/>
      <c r="T43" s="11"/>
      <c r="U43" s="11"/>
      <c r="V43" s="11"/>
      <c r="W43" s="11"/>
      <c r="X43" s="11"/>
      <c r="Y43" s="11"/>
    </row>
    <row r="44" spans="5:46" ht="13.8" customHeight="1" x14ac:dyDescent="0.25">
      <c r="Q44" s="11"/>
      <c r="R44" s="11"/>
      <c r="S44" s="11"/>
      <c r="T44" s="11"/>
      <c r="U44" s="11"/>
      <c r="V44" s="11"/>
      <c r="W44" s="11"/>
      <c r="X44" s="11"/>
      <c r="Y44" s="11"/>
    </row>
    <row r="45" spans="5:46" ht="13.8" customHeight="1" x14ac:dyDescent="0.25">
      <c r="Q45" s="11"/>
      <c r="R45" s="11"/>
      <c r="S45" s="11"/>
      <c r="T45" s="11"/>
      <c r="U45" s="11"/>
      <c r="V45" s="11"/>
      <c r="W45" s="11"/>
      <c r="X45" s="11"/>
      <c r="Y45" s="11"/>
    </row>
    <row r="46" spans="5:46" ht="13.8" customHeight="1" x14ac:dyDescent="0.25">
      <c r="Q46" s="11"/>
      <c r="R46" s="11"/>
      <c r="S46" s="11"/>
      <c r="T46" s="11"/>
      <c r="U46" s="11"/>
      <c r="V46" s="11"/>
      <c r="W46" s="11"/>
      <c r="X46" s="11"/>
      <c r="Y46" s="11"/>
    </row>
    <row r="47" spans="5:46" ht="13.8" customHeight="1" x14ac:dyDescent="0.25">
      <c r="Q47" s="11"/>
      <c r="R47" s="11"/>
      <c r="S47" s="11"/>
      <c r="T47" s="11"/>
      <c r="U47" s="11"/>
      <c r="V47" s="11"/>
      <c r="W47" s="11"/>
      <c r="X47" s="11"/>
      <c r="Y47" s="11"/>
    </row>
    <row r="48" spans="5:46" ht="13.8" customHeight="1" x14ac:dyDescent="0.25">
      <c r="Q48" s="11"/>
      <c r="R48" s="11"/>
      <c r="S48" s="11"/>
      <c r="T48" s="11"/>
      <c r="U48" s="11"/>
      <c r="V48" s="11"/>
      <c r="W48" s="11"/>
      <c r="X48" s="11"/>
      <c r="Y48" s="11"/>
    </row>
    <row r="49" spans="17:25" ht="13.8" customHeight="1" x14ac:dyDescent="0.25">
      <c r="Q49" s="11"/>
      <c r="R49" s="11"/>
      <c r="S49" s="11"/>
      <c r="T49" s="11"/>
      <c r="U49" s="11"/>
      <c r="V49" s="11"/>
      <c r="W49" s="11"/>
      <c r="X49" s="11"/>
      <c r="Y49" s="11"/>
    </row>
    <row r="50" spans="17:25" ht="13.8" customHeight="1" x14ac:dyDescent="0.25">
      <c r="Q50" s="11"/>
      <c r="R50" s="11"/>
      <c r="S50" s="11"/>
      <c r="T50" s="11"/>
      <c r="U50" s="11"/>
      <c r="V50" s="11"/>
      <c r="W50" s="11"/>
      <c r="X50" s="11"/>
      <c r="Y50" s="11"/>
    </row>
    <row r="51" spans="17:25" ht="13.8" customHeight="1" x14ac:dyDescent="0.25">
      <c r="Q51" s="11"/>
      <c r="R51" s="11"/>
      <c r="S51" s="11"/>
      <c r="T51" s="11"/>
      <c r="U51" s="11"/>
      <c r="V51" s="11"/>
      <c r="W51" s="11"/>
      <c r="X51" s="11"/>
      <c r="Y51" s="11"/>
    </row>
    <row r="52" spans="17:25" ht="13.8" customHeight="1" x14ac:dyDescent="0.25">
      <c r="Q52" s="11"/>
      <c r="R52" s="11"/>
      <c r="S52" s="11"/>
      <c r="T52" s="11"/>
      <c r="U52" s="11"/>
      <c r="V52" s="11"/>
      <c r="W52" s="11"/>
      <c r="X52" s="11"/>
      <c r="Y52" s="11"/>
    </row>
    <row r="53" spans="17:25" ht="13.8" customHeight="1" x14ac:dyDescent="0.25">
      <c r="Q53" s="11"/>
      <c r="R53" s="11"/>
      <c r="S53" s="11"/>
      <c r="T53" s="11"/>
      <c r="U53" s="11"/>
      <c r="V53" s="11"/>
      <c r="W53" s="11"/>
      <c r="X53" s="11"/>
      <c r="Y53" s="11"/>
    </row>
    <row r="54" spans="17:25" ht="13.8" customHeight="1" x14ac:dyDescent="0.25">
      <c r="Q54" s="11"/>
      <c r="R54" s="11"/>
      <c r="S54" s="11"/>
      <c r="T54" s="11"/>
      <c r="U54" s="11"/>
      <c r="V54" s="11"/>
      <c r="W54" s="11"/>
      <c r="X54" s="11"/>
      <c r="Y54" s="11"/>
    </row>
    <row r="55" spans="17:25" ht="13.8" customHeight="1" x14ac:dyDescent="0.25">
      <c r="Q55" s="11"/>
      <c r="R55" s="11"/>
      <c r="S55" s="11"/>
      <c r="T55" s="11"/>
      <c r="U55" s="11"/>
      <c r="V55" s="11"/>
      <c r="W55" s="11"/>
      <c r="X55" s="11"/>
      <c r="Y55" s="11"/>
    </row>
    <row r="56" spans="17:25" ht="13.8" customHeight="1" x14ac:dyDescent="0.25">
      <c r="Q56" s="11"/>
      <c r="R56" s="11"/>
      <c r="S56" s="11"/>
      <c r="T56" s="11"/>
      <c r="U56" s="11"/>
      <c r="V56" s="11"/>
      <c r="W56" s="11"/>
      <c r="X56" s="11"/>
      <c r="Y56" s="11"/>
    </row>
    <row r="57" spans="17:25" ht="13.8" customHeight="1" x14ac:dyDescent="0.25">
      <c r="Q57" s="11"/>
      <c r="R57" s="11"/>
      <c r="S57" s="11"/>
      <c r="T57" s="11"/>
      <c r="U57" s="11"/>
      <c r="V57" s="11"/>
      <c r="W57" s="11"/>
      <c r="X57" s="11"/>
      <c r="Y57" s="11"/>
    </row>
    <row r="58" spans="17:25" x14ac:dyDescent="0.25">
      <c r="Q58" s="11"/>
      <c r="R58" s="11"/>
      <c r="S58" s="11"/>
      <c r="T58" s="11"/>
      <c r="U58" s="11"/>
      <c r="V58" s="11"/>
      <c r="W58" s="11"/>
      <c r="X58" s="11"/>
      <c r="Y58" s="11"/>
    </row>
    <row r="59" spans="17:25" x14ac:dyDescent="0.25">
      <c r="Q59" s="11"/>
      <c r="R59" s="11"/>
      <c r="S59" s="11"/>
      <c r="T59" s="11"/>
      <c r="U59" s="11"/>
      <c r="V59" s="11"/>
      <c r="W59" s="11"/>
      <c r="X59" s="11"/>
      <c r="Y59" s="11"/>
    </row>
    <row r="60" spans="17:25" x14ac:dyDescent="0.25">
      <c r="Q60" s="11"/>
      <c r="R60" s="11"/>
      <c r="S60" s="11"/>
      <c r="T60" s="11"/>
      <c r="U60" s="11"/>
      <c r="V60" s="11"/>
      <c r="W60" s="11"/>
      <c r="X60" s="11"/>
      <c r="Y60" s="11"/>
    </row>
    <row r="61" spans="17:25" x14ac:dyDescent="0.25">
      <c r="Q61" s="11"/>
      <c r="R61" s="11"/>
      <c r="S61" s="11"/>
      <c r="T61" s="11"/>
      <c r="U61" s="11"/>
      <c r="V61" s="11"/>
      <c r="W61" s="11"/>
      <c r="X61" s="11"/>
      <c r="Y61" s="11"/>
    </row>
  </sheetData>
  <mergeCells count="10">
    <mergeCell ref="AC19:AH35"/>
    <mergeCell ref="AN17:AS33"/>
    <mergeCell ref="Q41:Y61"/>
    <mergeCell ref="Q40:Y40"/>
    <mergeCell ref="A1:C1"/>
    <mergeCell ref="M1:O1"/>
    <mergeCell ref="Y1:AA1"/>
    <mergeCell ref="AJ1:AL1"/>
    <mergeCell ref="E20:K36"/>
    <mergeCell ref="Q20:W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Сводные таблицы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Виктория Бородич</dc:creator>
  <cp:lastModifiedBy>Виктория Бородич</cp:lastModifiedBy>
  <dcterms:created xsi:type="dcterms:W3CDTF">2026-04-01T06:43:11Z</dcterms:created>
  <dcterms:modified xsi:type="dcterms:W3CDTF">2026-04-01T07:39:14Z</dcterms:modified>
</cp:coreProperties>
</file>